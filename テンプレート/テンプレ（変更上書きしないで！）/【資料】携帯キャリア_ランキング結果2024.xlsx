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na-sato\Desktop\携帯キャリア・格安ブランド2024\速報\"/>
    </mc:Choice>
  </mc:AlternateContent>
  <xr:revisionPtr revIDLastSave="0" documentId="13_ncr:1_{F1B724FF-B3F9-4752-89ED-E4848E6992C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総合対象企業" sheetId="1" r:id="rId1"/>
    <sheet name="評価項目" sheetId="2" r:id="rId2"/>
    <sheet name="評価項目_営業用" sheetId="3" state="hidden" r:id="rId3"/>
    <sheet name="他者推奨意向" sheetId="4" r:id="rId4"/>
    <sheet name="継続意向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<sst xmlns="http://schemas.openxmlformats.org/spreadsheetml/2006/main" count="234" uniqueCount="48">
  <si>
    <t>携帯キャリア</t>
  </si>
  <si>
    <t>得点差</t>
  </si>
  <si>
    <t>得点差比率</t>
  </si>
  <si>
    <t>相関係数</t>
  </si>
  <si>
    <t>n≧ 100</t>
  </si>
  <si>
    <t>順位</t>
  </si>
  <si>
    <t>ID</t>
  </si>
  <si>
    <t>ランキング対象企業名</t>
  </si>
  <si>
    <t>回答者数</t>
  </si>
  <si>
    <t>回答者数（最新年）</t>
  </si>
  <si>
    <t>標準偏差</t>
  </si>
  <si>
    <t>合計</t>
  </si>
  <si>
    <t>加入手続き</t>
  </si>
  <si>
    <t>キャンペーン</t>
  </si>
  <si>
    <t>初期設定のしやすさ</t>
  </si>
  <si>
    <t>通信速度</t>
  </si>
  <si>
    <t>料金プラン</t>
  </si>
  <si>
    <t>端末のラインナップ</t>
  </si>
  <si>
    <t>利用料金</t>
  </si>
  <si>
    <t>サポートサービス</t>
  </si>
  <si>
    <t>付帯サービス</t>
  </si>
  <si>
    <t>他者推奨得点</t>
  </si>
  <si>
    <t>非お薦め率</t>
  </si>
  <si>
    <t>楽天モバイル</t>
  </si>
  <si>
    <t>au</t>
  </si>
  <si>
    <t>docomo</t>
  </si>
  <si>
    <t>SoftBank</t>
  </si>
  <si>
    <t>評価項目</t>
  </si>
  <si>
    <t>スコア</t>
  </si>
  <si>
    <t>他者推奨意向</t>
  </si>
  <si>
    <t>とても薦めたい</t>
  </si>
  <si>
    <t>まあ薦めたい</t>
  </si>
  <si>
    <t>あまり薦めたくない</t>
  </si>
  <si>
    <t>全く薦めたくない</t>
  </si>
  <si>
    <t>とても薦めたいpct</t>
  </si>
  <si>
    <t>まあ薦めたいpct</t>
  </si>
  <si>
    <t>あまり薦めたくないpct</t>
  </si>
  <si>
    <t>全く薦めたくないpct</t>
  </si>
  <si>
    <t>継続意向</t>
  </si>
  <si>
    <t>とても利用し続けたい</t>
  </si>
  <si>
    <t>まあ利用し続けたい</t>
  </si>
  <si>
    <t>あまり利用し続けたくない</t>
  </si>
  <si>
    <t>全く利用し続けたくない</t>
  </si>
  <si>
    <t>とても利用し続けたいpct</t>
  </si>
  <si>
    <t>まあ利用し続けたいpct</t>
  </si>
  <si>
    <t>あまり利用し続けたくないpct</t>
  </si>
  <si>
    <t>全く利用し続けたくないpct</t>
  </si>
  <si>
    <t>n数</t>
    <rPh sb="1" eb="2">
      <t>カズ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</si>
</sst>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4" x14ac:knownFonts="1">
    <font>
      <sz val="11"/>
      <color theme="1"/>
      <name val="ＭＳ Ｐゴシック"/>
      <family val="2"/>
      <scheme val="minor"/>
    </font>
    <font>
      <sz val="10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176" fontId="1" fillId="0" borderId="1" xfId="0" applyNumberFormat="1" applyFont="1" applyBorder="1"/>
    <xf numFmtId="177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/>
    <xf numFmtId="176" fontId="1" fillId="2" borderId="1" xfId="0" applyNumberFormat="1" applyFont="1" applyFill="1" applyBorder="1"/>
    <xf numFmtId="0" fontId="1" fillId="0" borderId="4" xfId="0" applyFont="1" applyBorder="1" applyAlignment="1">
      <alignment horizontal="center" vertical="center" wrapText="1"/>
    </xf>
    <xf numFmtId="177" fontId="1" fillId="0" borderId="5" xfId="0" applyNumberFormat="1" applyFont="1" applyBorder="1"/>
    <xf numFmtId="177" fontId="1" fillId="0" borderId="6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76" fontId="1" fillId="0" borderId="1" xfId="0" applyNumberFormat="1" applyFont="1" applyFill="1" applyBorder="1"/>
    <xf numFmtId="177" fontId="1" fillId="0" borderId="1" xfId="0" applyNumberFormat="1" applyFont="1" applyFill="1" applyBorder="1"/>
    <xf numFmtId="0" fontId="1" fillId="0" borderId="1" xfId="0" applyFont="1" applyFill="1" applyBorder="1"/>
    <xf numFmtId="0" fontId="0" fillId="0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/>
  </sheetViews>
  <sheetFormatPr defaultRowHeight="13.5" x14ac:dyDescent="0.15"/>
  <cols>
    <col min="2" max="2" width="0" hidden="1" customWidth="1"/>
    <col min="3" max="3" width="32.125" customWidth="1"/>
  </cols>
  <sheetData>
    <row r="1" spans="1:18" ht="15" x14ac:dyDescent="0.25">
      <c r="A1" s="1" t="s">
        <v>0</v>
      </c>
      <c r="D1" s="2" t="s">
        <v>1</v>
      </c>
      <c r="E1" s="2" t="s">
        <v>2</v>
      </c>
      <c r="F1" s="2" t="s">
        <v>3</v>
      </c>
    </row>
    <row r="2" spans="1:18" ht="15" x14ac:dyDescent="0.25">
      <c r="D2" s="3">
        <f>$G$5-$G$8</f>
        <v>3.3427429999999987</v>
      </c>
      <c r="E2" s="4">
        <f>$G$5/$G$8</f>
        <v>1.0505115339557292</v>
      </c>
      <c r="F2" s="3">
        <v>0.84915700000000005</v>
      </c>
    </row>
    <row r="3" spans="1:18" ht="15" x14ac:dyDescent="0.25">
      <c r="A3" s="1" t="s">
        <v>4</v>
      </c>
    </row>
    <row r="4" spans="1:18" ht="28.5" x14ac:dyDescent="0.1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</row>
    <row r="5" spans="1:18" ht="15" x14ac:dyDescent="0.25">
      <c r="A5" s="2">
        <v>1</v>
      </c>
      <c r="B5" s="2">
        <v>6</v>
      </c>
      <c r="C5" s="2" t="s">
        <v>23</v>
      </c>
      <c r="D5" s="2">
        <v>1502</v>
      </c>
      <c r="E5" s="2">
        <v>1502</v>
      </c>
      <c r="F5" s="3">
        <v>13.875450000000001</v>
      </c>
      <c r="G5" s="3">
        <v>69.520559000000006</v>
      </c>
      <c r="H5" s="15">
        <v>73.258236999999994</v>
      </c>
      <c r="I5" s="15">
        <v>71.766949999999994</v>
      </c>
      <c r="J5" s="15">
        <v>72.662257999999994</v>
      </c>
      <c r="K5" s="15">
        <v>68.215083000000007</v>
      </c>
      <c r="L5" s="15">
        <v>73.344639000000001</v>
      </c>
      <c r="M5" s="15">
        <v>64.171332000000007</v>
      </c>
      <c r="N5" s="15">
        <v>69.560338999999999</v>
      </c>
      <c r="O5" s="15">
        <v>65.212165999999996</v>
      </c>
      <c r="P5" s="15">
        <v>69.303738999999993</v>
      </c>
      <c r="Q5" s="15">
        <v>67.147373999999999</v>
      </c>
      <c r="R5" s="16">
        <v>6.5911999999999998E-2</v>
      </c>
    </row>
    <row r="6" spans="1:18" ht="15" x14ac:dyDescent="0.25">
      <c r="A6" s="2">
        <v>2</v>
      </c>
      <c r="B6" s="2">
        <v>4</v>
      </c>
      <c r="C6" s="2" t="s">
        <v>24</v>
      </c>
      <c r="D6" s="2">
        <v>1723</v>
      </c>
      <c r="E6" s="2">
        <v>1723</v>
      </c>
      <c r="F6" s="3">
        <v>14.989419</v>
      </c>
      <c r="G6" s="3">
        <v>66.846626000000001</v>
      </c>
      <c r="H6" s="15">
        <v>69.879921999999993</v>
      </c>
      <c r="I6" s="15">
        <v>66.035912999999994</v>
      </c>
      <c r="J6" s="15">
        <v>68.927771000000007</v>
      </c>
      <c r="K6" s="15">
        <v>71.519407999999999</v>
      </c>
      <c r="L6" s="15">
        <v>65.854276999999996</v>
      </c>
      <c r="M6" s="15">
        <v>64.985607999999999</v>
      </c>
      <c r="N6" s="15">
        <v>65.663501999999994</v>
      </c>
      <c r="O6" s="15">
        <v>65.005759999999995</v>
      </c>
      <c r="P6" s="15">
        <v>66.593019999999996</v>
      </c>
      <c r="Q6" s="15">
        <v>63.744762000000001</v>
      </c>
      <c r="R6" s="16">
        <v>0.10679</v>
      </c>
    </row>
    <row r="7" spans="1:18" ht="15" x14ac:dyDescent="0.25">
      <c r="A7" s="2">
        <v>3</v>
      </c>
      <c r="B7" s="2">
        <v>1</v>
      </c>
      <c r="C7" s="2" t="s">
        <v>25</v>
      </c>
      <c r="D7" s="2">
        <v>3785</v>
      </c>
      <c r="E7" s="2">
        <v>3785</v>
      </c>
      <c r="F7" s="3">
        <v>15.516048</v>
      </c>
      <c r="G7" s="3">
        <v>66.548928000000004</v>
      </c>
      <c r="H7" s="15">
        <v>70.423175999999998</v>
      </c>
      <c r="I7" s="15">
        <v>64.710132999999999</v>
      </c>
      <c r="J7" s="15">
        <v>68.123486999999997</v>
      </c>
      <c r="K7" s="15">
        <v>71.215721000000002</v>
      </c>
      <c r="L7" s="15">
        <v>66.148032000000001</v>
      </c>
      <c r="M7" s="15">
        <v>64.089708000000002</v>
      </c>
      <c r="N7" s="15">
        <v>65.483215999999999</v>
      </c>
      <c r="O7" s="15">
        <v>64.553028999999995</v>
      </c>
      <c r="P7" s="15">
        <v>66.276938000000001</v>
      </c>
      <c r="Q7" s="15">
        <v>64.061528999999993</v>
      </c>
      <c r="R7" s="16">
        <v>0.11175599999999999</v>
      </c>
    </row>
    <row r="8" spans="1:18" ht="15" x14ac:dyDescent="0.25">
      <c r="A8" s="2">
        <v>4</v>
      </c>
      <c r="B8" s="2">
        <v>5</v>
      </c>
      <c r="C8" s="2" t="s">
        <v>26</v>
      </c>
      <c r="D8" s="2">
        <v>1454</v>
      </c>
      <c r="E8" s="2">
        <v>1454</v>
      </c>
      <c r="F8" s="3">
        <v>15.695949000000001</v>
      </c>
      <c r="G8" s="3">
        <v>66.177816000000007</v>
      </c>
      <c r="H8" s="3">
        <v>69.332609000000005</v>
      </c>
      <c r="I8" s="3">
        <v>66.223043000000004</v>
      </c>
      <c r="J8" s="3">
        <v>68.147412000000003</v>
      </c>
      <c r="K8" s="3">
        <v>70.403367000000003</v>
      </c>
      <c r="L8" s="3">
        <v>65.410332999999994</v>
      </c>
      <c r="M8" s="3">
        <v>64.504751999999996</v>
      </c>
      <c r="N8" s="3">
        <v>65.033135000000001</v>
      </c>
      <c r="O8" s="3">
        <v>63.957943</v>
      </c>
      <c r="P8" s="3">
        <v>65.777942999999993</v>
      </c>
      <c r="Q8" s="3">
        <v>62.791970999999997</v>
      </c>
      <c r="R8" s="4">
        <v>0.1348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workbookViewId="0"/>
  </sheetViews>
  <sheetFormatPr defaultRowHeight="13.5" x14ac:dyDescent="0.15"/>
  <cols>
    <col min="1" max="1" width="32.125" customWidth="1"/>
    <col min="3" max="3" width="13" hidden="1" customWidth="1"/>
    <col min="4" max="4" width="32.125" customWidth="1"/>
  </cols>
  <sheetData>
    <row r="1" spans="1:6" ht="15" x14ac:dyDescent="0.25">
      <c r="A1" s="1" t="s">
        <v>0</v>
      </c>
    </row>
    <row r="2" spans="1:6" ht="15" x14ac:dyDescent="0.25">
      <c r="A2" s="1" t="s">
        <v>27</v>
      </c>
    </row>
    <row r="3" spans="1:6" ht="15" x14ac:dyDescent="0.25">
      <c r="A3" s="1" t="s">
        <v>4</v>
      </c>
    </row>
    <row r="4" spans="1:6" ht="15" x14ac:dyDescent="0.25">
      <c r="A4" s="2" t="s">
        <v>27</v>
      </c>
      <c r="B4" s="2" t="s">
        <v>5</v>
      </c>
      <c r="C4" s="2" t="s">
        <v>6</v>
      </c>
      <c r="D4" s="2" t="s">
        <v>7</v>
      </c>
      <c r="E4" s="2" t="s">
        <v>28</v>
      </c>
      <c r="F4" s="11" t="s">
        <v>47</v>
      </c>
    </row>
    <row r="5" spans="1:6" ht="15" x14ac:dyDescent="0.25">
      <c r="A5" s="2" t="s">
        <v>12</v>
      </c>
      <c r="B5" s="2">
        <v>1</v>
      </c>
      <c r="C5" s="2">
        <v>6</v>
      </c>
      <c r="D5" s="2" t="s">
        <v>23</v>
      </c>
      <c r="E5" s="3">
        <v>73.258236999999994</v>
      </c>
      <c r="F5" s="11">
        <v>915</v>
      </c>
    </row>
    <row r="6" spans="1:6" ht="15" x14ac:dyDescent="0.25">
      <c r="A6" s="2" t="s">
        <v>12</v>
      </c>
      <c r="B6" s="2">
        <v>2</v>
      </c>
      <c r="C6" s="2">
        <v>1</v>
      </c>
      <c r="D6" s="2" t="s">
        <v>25</v>
      </c>
      <c r="E6" s="3">
        <v>70.423175999999998</v>
      </c>
      <c r="F6" s="11">
        <v>489</v>
      </c>
    </row>
    <row r="7" spans="1:6" ht="15" x14ac:dyDescent="0.25">
      <c r="A7" s="2" t="s">
        <v>12</v>
      </c>
      <c r="B7" s="2">
        <v>3</v>
      </c>
      <c r="C7" s="2">
        <v>4</v>
      </c>
      <c r="D7" s="2" t="s">
        <v>24</v>
      </c>
      <c r="E7" s="3">
        <v>69.879921999999993</v>
      </c>
      <c r="F7" s="11">
        <v>2380</v>
      </c>
    </row>
    <row r="8" spans="1:6" ht="15" x14ac:dyDescent="0.25">
      <c r="A8" s="2" t="s">
        <v>12</v>
      </c>
      <c r="B8" s="2">
        <v>4</v>
      </c>
      <c r="C8" s="2">
        <v>5</v>
      </c>
      <c r="D8" s="2" t="s">
        <v>26</v>
      </c>
      <c r="E8" s="3">
        <v>69.332609000000005</v>
      </c>
      <c r="F8" s="11">
        <v>549</v>
      </c>
    </row>
    <row r="10" spans="1:6" ht="15" x14ac:dyDescent="0.25">
      <c r="A10" s="2" t="s">
        <v>27</v>
      </c>
      <c r="B10" s="2" t="s">
        <v>5</v>
      </c>
      <c r="C10" s="2" t="s">
        <v>6</v>
      </c>
      <c r="D10" s="2" t="s">
        <v>7</v>
      </c>
      <c r="E10" s="2" t="s">
        <v>28</v>
      </c>
    </row>
    <row r="11" spans="1:6" ht="15" x14ac:dyDescent="0.25">
      <c r="A11" s="2" t="s">
        <v>13</v>
      </c>
      <c r="B11" s="2">
        <v>1</v>
      </c>
      <c r="C11" s="2">
        <v>6</v>
      </c>
      <c r="D11" s="2" t="s">
        <v>23</v>
      </c>
      <c r="E11" s="3">
        <v>71.766949999999994</v>
      </c>
    </row>
    <row r="12" spans="1:6" ht="15" x14ac:dyDescent="0.25">
      <c r="A12" s="2" t="s">
        <v>13</v>
      </c>
      <c r="B12" s="2">
        <v>2</v>
      </c>
      <c r="C12" s="2">
        <v>5</v>
      </c>
      <c r="D12" s="2" t="s">
        <v>26</v>
      </c>
      <c r="E12" s="3">
        <v>66.223043000000004</v>
      </c>
    </row>
    <row r="13" spans="1:6" ht="15" x14ac:dyDescent="0.25">
      <c r="A13" s="2" t="s">
        <v>13</v>
      </c>
      <c r="B13" s="2">
        <v>3</v>
      </c>
      <c r="C13" s="2">
        <v>4</v>
      </c>
      <c r="D13" s="2" t="s">
        <v>24</v>
      </c>
      <c r="E13" s="3">
        <v>66.035912999999994</v>
      </c>
    </row>
    <row r="14" spans="1:6" ht="15" x14ac:dyDescent="0.25">
      <c r="A14" s="2" t="s">
        <v>13</v>
      </c>
      <c r="B14" s="2">
        <v>4</v>
      </c>
      <c r="C14" s="2">
        <v>1</v>
      </c>
      <c r="D14" s="2" t="s">
        <v>25</v>
      </c>
      <c r="E14" s="3">
        <v>64.710132999999999</v>
      </c>
    </row>
    <row r="16" spans="1:6" ht="15" x14ac:dyDescent="0.25">
      <c r="A16" s="2" t="s">
        <v>27</v>
      </c>
      <c r="B16" s="2" t="s">
        <v>5</v>
      </c>
      <c r="C16" s="2" t="s">
        <v>6</v>
      </c>
      <c r="D16" s="2" t="s">
        <v>7</v>
      </c>
      <c r="E16" s="2" t="s">
        <v>28</v>
      </c>
    </row>
    <row r="17" spans="1:5" ht="15" x14ac:dyDescent="0.25">
      <c r="A17" s="2" t="s">
        <v>14</v>
      </c>
      <c r="B17" s="2">
        <v>1</v>
      </c>
      <c r="C17" s="2">
        <v>6</v>
      </c>
      <c r="D17" s="2" t="s">
        <v>23</v>
      </c>
      <c r="E17" s="3">
        <v>72.662257999999994</v>
      </c>
    </row>
    <row r="18" spans="1:5" ht="15" x14ac:dyDescent="0.25">
      <c r="A18" s="17" t="s">
        <v>14</v>
      </c>
      <c r="B18" s="17">
        <v>2</v>
      </c>
      <c r="C18" s="17">
        <v>4</v>
      </c>
      <c r="D18" s="17" t="s">
        <v>24</v>
      </c>
      <c r="E18" s="15">
        <v>68.927771000000007</v>
      </c>
    </row>
    <row r="19" spans="1:5" ht="15" x14ac:dyDescent="0.25">
      <c r="A19" s="17" t="s">
        <v>14</v>
      </c>
      <c r="B19" s="17">
        <v>3</v>
      </c>
      <c r="C19" s="17">
        <v>5</v>
      </c>
      <c r="D19" s="17" t="s">
        <v>26</v>
      </c>
      <c r="E19" s="15">
        <v>68.147412000000003</v>
      </c>
    </row>
    <row r="20" spans="1:5" ht="15" x14ac:dyDescent="0.25">
      <c r="A20" s="17" t="s">
        <v>14</v>
      </c>
      <c r="B20" s="17">
        <v>3</v>
      </c>
      <c r="C20" s="17">
        <v>1</v>
      </c>
      <c r="D20" s="17" t="s">
        <v>25</v>
      </c>
      <c r="E20" s="15">
        <v>68.123486999999997</v>
      </c>
    </row>
    <row r="21" spans="1:5" x14ac:dyDescent="0.15">
      <c r="A21" s="18"/>
      <c r="B21" s="18"/>
      <c r="C21" s="18"/>
      <c r="D21" s="18"/>
      <c r="E21" s="18"/>
    </row>
    <row r="22" spans="1:5" ht="15" x14ac:dyDescent="0.25">
      <c r="A22" s="2" t="s">
        <v>27</v>
      </c>
      <c r="B22" s="2" t="s">
        <v>5</v>
      </c>
      <c r="C22" s="2" t="s">
        <v>6</v>
      </c>
      <c r="D22" s="2" t="s">
        <v>7</v>
      </c>
      <c r="E22" s="2" t="s">
        <v>28</v>
      </c>
    </row>
    <row r="23" spans="1:5" ht="15" x14ac:dyDescent="0.25">
      <c r="A23" s="2" t="s">
        <v>15</v>
      </c>
      <c r="B23" s="2">
        <v>1</v>
      </c>
      <c r="C23" s="2">
        <v>4</v>
      </c>
      <c r="D23" s="2" t="s">
        <v>24</v>
      </c>
      <c r="E23" s="3">
        <v>71.519407999999999</v>
      </c>
    </row>
    <row r="24" spans="1:5" ht="15" x14ac:dyDescent="0.25">
      <c r="A24" s="2" t="s">
        <v>15</v>
      </c>
      <c r="B24" s="2">
        <v>2</v>
      </c>
      <c r="C24" s="2">
        <v>1</v>
      </c>
      <c r="D24" s="2" t="s">
        <v>25</v>
      </c>
      <c r="E24" s="3">
        <v>71.215721000000002</v>
      </c>
    </row>
    <row r="25" spans="1:5" ht="15" x14ac:dyDescent="0.25">
      <c r="A25" s="2" t="s">
        <v>15</v>
      </c>
      <c r="B25" s="2">
        <v>3</v>
      </c>
      <c r="C25" s="2">
        <v>5</v>
      </c>
      <c r="D25" s="2" t="s">
        <v>26</v>
      </c>
      <c r="E25" s="3">
        <v>70.403367000000003</v>
      </c>
    </row>
    <row r="26" spans="1:5" ht="15" x14ac:dyDescent="0.25">
      <c r="A26" s="2" t="s">
        <v>15</v>
      </c>
      <c r="B26" s="2">
        <v>4</v>
      </c>
      <c r="C26" s="2">
        <v>6</v>
      </c>
      <c r="D26" s="2" t="s">
        <v>23</v>
      </c>
      <c r="E26" s="3">
        <v>68.215083000000007</v>
      </c>
    </row>
    <row r="28" spans="1:5" ht="15" x14ac:dyDescent="0.25">
      <c r="A28" s="2" t="s">
        <v>27</v>
      </c>
      <c r="B28" s="2" t="s">
        <v>5</v>
      </c>
      <c r="C28" s="2" t="s">
        <v>6</v>
      </c>
      <c r="D28" s="2" t="s">
        <v>7</v>
      </c>
      <c r="E28" s="2" t="s">
        <v>28</v>
      </c>
    </row>
    <row r="29" spans="1:5" ht="15" x14ac:dyDescent="0.25">
      <c r="A29" s="2" t="s">
        <v>16</v>
      </c>
      <c r="B29" s="2">
        <v>1</v>
      </c>
      <c r="C29" s="2">
        <v>6</v>
      </c>
      <c r="D29" s="2" t="s">
        <v>23</v>
      </c>
      <c r="E29" s="3">
        <v>73.344639000000001</v>
      </c>
    </row>
    <row r="30" spans="1:5" ht="15" x14ac:dyDescent="0.25">
      <c r="A30" s="2" t="s">
        <v>16</v>
      </c>
      <c r="B30" s="2">
        <v>2</v>
      </c>
      <c r="C30" s="2">
        <v>1</v>
      </c>
      <c r="D30" s="2" t="s">
        <v>25</v>
      </c>
      <c r="E30" s="3">
        <v>66.148032000000001</v>
      </c>
    </row>
    <row r="31" spans="1:5" ht="15" x14ac:dyDescent="0.25">
      <c r="A31" s="2" t="s">
        <v>16</v>
      </c>
      <c r="B31" s="2">
        <v>3</v>
      </c>
      <c r="C31" s="2">
        <v>4</v>
      </c>
      <c r="D31" s="2" t="s">
        <v>24</v>
      </c>
      <c r="E31" s="3">
        <v>65.854276999999996</v>
      </c>
    </row>
    <row r="32" spans="1:5" ht="15" x14ac:dyDescent="0.25">
      <c r="A32" s="2" t="s">
        <v>16</v>
      </c>
      <c r="B32" s="2">
        <v>4</v>
      </c>
      <c r="C32" s="2">
        <v>5</v>
      </c>
      <c r="D32" s="2" t="s">
        <v>26</v>
      </c>
      <c r="E32" s="3">
        <v>65.410332999999994</v>
      </c>
    </row>
    <row r="34" spans="1:5" ht="15" x14ac:dyDescent="0.25">
      <c r="A34" s="2" t="s">
        <v>27</v>
      </c>
      <c r="B34" s="2" t="s">
        <v>5</v>
      </c>
      <c r="C34" s="2" t="s">
        <v>6</v>
      </c>
      <c r="D34" s="2" t="s">
        <v>7</v>
      </c>
      <c r="E34" s="2" t="s">
        <v>28</v>
      </c>
    </row>
    <row r="35" spans="1:5" ht="15" x14ac:dyDescent="0.25">
      <c r="A35" s="2" t="s">
        <v>17</v>
      </c>
      <c r="B35" s="2">
        <v>1</v>
      </c>
      <c r="C35" s="2">
        <v>4</v>
      </c>
      <c r="D35" s="2" t="s">
        <v>24</v>
      </c>
      <c r="E35" s="3">
        <v>64.985607999999999</v>
      </c>
    </row>
    <row r="36" spans="1:5" ht="15" x14ac:dyDescent="0.25">
      <c r="A36" s="2" t="s">
        <v>17</v>
      </c>
      <c r="B36" s="2">
        <v>2</v>
      </c>
      <c r="C36" s="2">
        <v>5</v>
      </c>
      <c r="D36" s="2" t="s">
        <v>26</v>
      </c>
      <c r="E36" s="3">
        <v>64.504751999999996</v>
      </c>
    </row>
    <row r="37" spans="1:5" ht="15" x14ac:dyDescent="0.25">
      <c r="A37" s="2" t="s">
        <v>17</v>
      </c>
      <c r="B37" s="2">
        <v>3</v>
      </c>
      <c r="C37" s="2">
        <v>6</v>
      </c>
      <c r="D37" s="2" t="s">
        <v>23</v>
      </c>
      <c r="E37" s="3">
        <v>64.171332000000007</v>
      </c>
    </row>
    <row r="38" spans="1:5" ht="15" x14ac:dyDescent="0.25">
      <c r="A38" s="2" t="s">
        <v>17</v>
      </c>
      <c r="B38" s="2">
        <v>4</v>
      </c>
      <c r="C38" s="2">
        <v>1</v>
      </c>
      <c r="D38" s="2" t="s">
        <v>25</v>
      </c>
      <c r="E38" s="3">
        <v>64.089708000000002</v>
      </c>
    </row>
    <row r="40" spans="1:5" ht="15" x14ac:dyDescent="0.25">
      <c r="A40" s="2" t="s">
        <v>27</v>
      </c>
      <c r="B40" s="2" t="s">
        <v>5</v>
      </c>
      <c r="C40" s="2" t="s">
        <v>6</v>
      </c>
      <c r="D40" s="2" t="s">
        <v>7</v>
      </c>
      <c r="E40" s="2" t="s">
        <v>28</v>
      </c>
    </row>
    <row r="41" spans="1:5" ht="15" x14ac:dyDescent="0.25">
      <c r="A41" s="2" t="s">
        <v>18</v>
      </c>
      <c r="B41" s="2">
        <v>1</v>
      </c>
      <c r="C41" s="2">
        <v>6</v>
      </c>
      <c r="D41" s="2" t="s">
        <v>23</v>
      </c>
      <c r="E41" s="3">
        <v>69.560338999999999</v>
      </c>
    </row>
    <row r="42" spans="1:5" ht="15" x14ac:dyDescent="0.25">
      <c r="A42" s="2" t="s">
        <v>18</v>
      </c>
      <c r="B42" s="2">
        <v>2</v>
      </c>
      <c r="C42" s="2">
        <v>4</v>
      </c>
      <c r="D42" s="2" t="s">
        <v>24</v>
      </c>
      <c r="E42" s="3">
        <v>65.663501999999994</v>
      </c>
    </row>
    <row r="43" spans="1:5" ht="15" x14ac:dyDescent="0.25">
      <c r="A43" s="2" t="s">
        <v>18</v>
      </c>
      <c r="B43" s="2">
        <v>3</v>
      </c>
      <c r="C43" s="2">
        <v>1</v>
      </c>
      <c r="D43" s="2" t="s">
        <v>25</v>
      </c>
      <c r="E43" s="3">
        <v>65.483215999999999</v>
      </c>
    </row>
    <row r="44" spans="1:5" ht="15" x14ac:dyDescent="0.25">
      <c r="A44" s="2" t="s">
        <v>18</v>
      </c>
      <c r="B44" s="2">
        <v>4</v>
      </c>
      <c r="C44" s="2">
        <v>5</v>
      </c>
      <c r="D44" s="2" t="s">
        <v>26</v>
      </c>
      <c r="E44" s="3">
        <v>65.033135000000001</v>
      </c>
    </row>
    <row r="46" spans="1:5" ht="15" x14ac:dyDescent="0.25">
      <c r="A46" s="2" t="s">
        <v>27</v>
      </c>
      <c r="B46" s="2" t="s">
        <v>5</v>
      </c>
      <c r="C46" s="2" t="s">
        <v>6</v>
      </c>
      <c r="D46" s="2" t="s">
        <v>7</v>
      </c>
      <c r="E46" s="2" t="s">
        <v>28</v>
      </c>
    </row>
    <row r="47" spans="1:5" ht="15" x14ac:dyDescent="0.25">
      <c r="A47" s="2" t="s">
        <v>19</v>
      </c>
      <c r="B47" s="2">
        <v>1</v>
      </c>
      <c r="C47" s="2">
        <v>6</v>
      </c>
      <c r="D47" s="2" t="s">
        <v>23</v>
      </c>
      <c r="E47" s="3">
        <v>65.212165999999996</v>
      </c>
    </row>
    <row r="48" spans="1:5" ht="15" x14ac:dyDescent="0.25">
      <c r="A48" s="2" t="s">
        <v>19</v>
      </c>
      <c r="B48" s="2">
        <v>2</v>
      </c>
      <c r="C48" s="2">
        <v>4</v>
      </c>
      <c r="D48" s="2" t="s">
        <v>24</v>
      </c>
      <c r="E48" s="3">
        <v>65.005759999999995</v>
      </c>
    </row>
    <row r="49" spans="1:5" ht="15" x14ac:dyDescent="0.25">
      <c r="A49" s="2" t="s">
        <v>19</v>
      </c>
      <c r="B49" s="2">
        <v>3</v>
      </c>
      <c r="C49" s="2">
        <v>1</v>
      </c>
      <c r="D49" s="2" t="s">
        <v>25</v>
      </c>
      <c r="E49" s="3">
        <v>64.553028999999995</v>
      </c>
    </row>
    <row r="50" spans="1:5" ht="15" x14ac:dyDescent="0.25">
      <c r="A50" s="2" t="s">
        <v>19</v>
      </c>
      <c r="B50" s="2">
        <v>4</v>
      </c>
      <c r="C50" s="2">
        <v>5</v>
      </c>
      <c r="D50" s="2" t="s">
        <v>26</v>
      </c>
      <c r="E50" s="3">
        <v>63.957943</v>
      </c>
    </row>
    <row r="52" spans="1:5" ht="15" x14ac:dyDescent="0.25">
      <c r="A52" s="2" t="s">
        <v>27</v>
      </c>
      <c r="B52" s="2" t="s">
        <v>5</v>
      </c>
      <c r="C52" s="2" t="s">
        <v>6</v>
      </c>
      <c r="D52" s="2" t="s">
        <v>7</v>
      </c>
      <c r="E52" s="2" t="s">
        <v>28</v>
      </c>
    </row>
    <row r="53" spans="1:5" ht="15" x14ac:dyDescent="0.25">
      <c r="A53" s="2" t="s">
        <v>20</v>
      </c>
      <c r="B53" s="2">
        <v>1</v>
      </c>
      <c r="C53" s="2">
        <v>6</v>
      </c>
      <c r="D53" s="2" t="s">
        <v>23</v>
      </c>
      <c r="E53" s="3">
        <v>69.303738999999993</v>
      </c>
    </row>
    <row r="54" spans="1:5" ht="15" x14ac:dyDescent="0.25">
      <c r="A54" s="2" t="s">
        <v>20</v>
      </c>
      <c r="B54" s="2">
        <v>2</v>
      </c>
      <c r="C54" s="2">
        <v>4</v>
      </c>
      <c r="D54" s="2" t="s">
        <v>24</v>
      </c>
      <c r="E54" s="3">
        <v>66.593019999999996</v>
      </c>
    </row>
    <row r="55" spans="1:5" ht="15" x14ac:dyDescent="0.25">
      <c r="A55" s="2" t="s">
        <v>20</v>
      </c>
      <c r="B55" s="2">
        <v>3</v>
      </c>
      <c r="C55" s="2">
        <v>1</v>
      </c>
      <c r="D55" s="2" t="s">
        <v>25</v>
      </c>
      <c r="E55" s="3">
        <v>66.276938000000001</v>
      </c>
    </row>
    <row r="56" spans="1:5" ht="15" x14ac:dyDescent="0.25">
      <c r="A56" s="2" t="s">
        <v>20</v>
      </c>
      <c r="B56" s="2">
        <v>4</v>
      </c>
      <c r="C56" s="2">
        <v>5</v>
      </c>
      <c r="D56" s="2" t="s">
        <v>26</v>
      </c>
      <c r="E56" s="3">
        <v>65.777942999999993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workbookViewId="0"/>
  </sheetViews>
  <sheetFormatPr defaultRowHeight="13.5" x14ac:dyDescent="0.15"/>
  <cols>
    <col min="1" max="1" width="5.625" customWidth="1"/>
    <col min="2" max="2" width="13" hidden="1" customWidth="1"/>
    <col min="3" max="3" width="29.375" customWidth="1"/>
    <col min="6" max="6" width="5.625" customWidth="1"/>
    <col min="7" max="7" width="13" hidden="1" customWidth="1"/>
    <col min="8" max="8" width="29.375" customWidth="1"/>
  </cols>
  <sheetData>
    <row r="1" spans="1:9" ht="15" x14ac:dyDescent="0.25">
      <c r="A1" s="1" t="s">
        <v>0</v>
      </c>
    </row>
    <row r="2" spans="1:9" ht="15" x14ac:dyDescent="0.25">
      <c r="A2" s="1" t="s">
        <v>27</v>
      </c>
    </row>
    <row r="3" spans="1:9" ht="15" x14ac:dyDescent="0.25">
      <c r="A3" s="1" t="s">
        <v>4</v>
      </c>
    </row>
    <row r="4" spans="1:9" ht="15" x14ac:dyDescent="0.25">
      <c r="A4" s="12" t="s">
        <v>12</v>
      </c>
      <c r="B4" s="13"/>
      <c r="C4" s="13"/>
      <c r="D4" s="14"/>
      <c r="F4" s="12" t="s">
        <v>13</v>
      </c>
      <c r="G4" s="13"/>
      <c r="H4" s="13"/>
      <c r="I4" s="14"/>
    </row>
    <row r="5" spans="1:9" ht="15" x14ac:dyDescent="0.25">
      <c r="A5" s="2">
        <v>1</v>
      </c>
      <c r="B5" s="2">
        <v>6</v>
      </c>
      <c r="C5" s="2" t="s">
        <v>23</v>
      </c>
      <c r="D5" s="3">
        <v>73.258236999999994</v>
      </c>
      <c r="F5" s="2">
        <v>1</v>
      </c>
      <c r="G5" s="2">
        <v>6</v>
      </c>
      <c r="H5" s="2" t="s">
        <v>23</v>
      </c>
      <c r="I5" s="3">
        <v>71.766949999999994</v>
      </c>
    </row>
    <row r="6" spans="1:9" ht="15" x14ac:dyDescent="0.25">
      <c r="A6" s="2">
        <v>2</v>
      </c>
      <c r="B6" s="2">
        <v>1</v>
      </c>
      <c r="C6" s="2" t="s">
        <v>25</v>
      </c>
      <c r="D6" s="3">
        <v>70.423175999999998</v>
      </c>
      <c r="F6" s="2">
        <v>2</v>
      </c>
      <c r="G6" s="2">
        <v>5</v>
      </c>
      <c r="H6" s="2" t="s">
        <v>26</v>
      </c>
      <c r="I6" s="3">
        <v>66.223043000000004</v>
      </c>
    </row>
    <row r="7" spans="1:9" ht="15" x14ac:dyDescent="0.25">
      <c r="A7" s="2">
        <v>3</v>
      </c>
      <c r="B7" s="2">
        <v>4</v>
      </c>
      <c r="C7" s="2" t="s">
        <v>24</v>
      </c>
      <c r="D7" s="3">
        <v>69.879921999999993</v>
      </c>
      <c r="F7" s="2">
        <v>3</v>
      </c>
      <c r="G7" s="2">
        <v>4</v>
      </c>
      <c r="H7" s="2" t="s">
        <v>24</v>
      </c>
      <c r="I7" s="3">
        <v>66.035912999999994</v>
      </c>
    </row>
    <row r="8" spans="1:9" ht="15" x14ac:dyDescent="0.25">
      <c r="A8" s="2">
        <v>4</v>
      </c>
      <c r="B8" s="2">
        <v>5</v>
      </c>
      <c r="C8" s="2" t="s">
        <v>26</v>
      </c>
      <c r="D8" s="3">
        <v>69.332609000000005</v>
      </c>
      <c r="F8" s="2">
        <v>4</v>
      </c>
      <c r="G8" s="2">
        <v>1</v>
      </c>
      <c r="H8" s="2" t="s">
        <v>25</v>
      </c>
      <c r="I8" s="3">
        <v>64.710132999999999</v>
      </c>
    </row>
    <row r="11" spans="1:9" ht="15" x14ac:dyDescent="0.25">
      <c r="A11" s="12" t="s">
        <v>14</v>
      </c>
      <c r="B11" s="13"/>
      <c r="C11" s="13"/>
      <c r="D11" s="14"/>
      <c r="F11" s="12" t="s">
        <v>15</v>
      </c>
      <c r="G11" s="13"/>
      <c r="H11" s="13"/>
      <c r="I11" s="14"/>
    </row>
    <row r="12" spans="1:9" ht="15" x14ac:dyDescent="0.25">
      <c r="A12" s="2">
        <v>1</v>
      </c>
      <c r="B12" s="2">
        <v>6</v>
      </c>
      <c r="C12" s="2" t="s">
        <v>23</v>
      </c>
      <c r="D12" s="3">
        <v>72.662257999999994</v>
      </c>
      <c r="F12" s="2">
        <v>1</v>
      </c>
      <c r="G12" s="2">
        <v>4</v>
      </c>
      <c r="H12" s="2" t="s">
        <v>24</v>
      </c>
      <c r="I12" s="3">
        <v>71.519407999999999</v>
      </c>
    </row>
    <row r="13" spans="1:9" ht="15" x14ac:dyDescent="0.25">
      <c r="A13" s="2">
        <v>2</v>
      </c>
      <c r="B13" s="2">
        <v>4</v>
      </c>
      <c r="C13" s="2" t="s">
        <v>24</v>
      </c>
      <c r="D13" s="3">
        <v>68.927771000000007</v>
      </c>
      <c r="F13" s="2">
        <v>2</v>
      </c>
      <c r="G13" s="2">
        <v>1</v>
      </c>
      <c r="H13" s="2" t="s">
        <v>25</v>
      </c>
      <c r="I13" s="3">
        <v>71.215721000000002</v>
      </c>
    </row>
    <row r="14" spans="1:9" ht="15" x14ac:dyDescent="0.25">
      <c r="A14" s="6">
        <v>3</v>
      </c>
      <c r="B14" s="6">
        <v>5</v>
      </c>
      <c r="C14" s="6" t="s">
        <v>26</v>
      </c>
      <c r="D14" s="7">
        <v>68.147412000000003</v>
      </c>
      <c r="F14" s="2">
        <v>3</v>
      </c>
      <c r="G14" s="2">
        <v>5</v>
      </c>
      <c r="H14" s="2" t="s">
        <v>26</v>
      </c>
      <c r="I14" s="3">
        <v>70.403367000000003</v>
      </c>
    </row>
    <row r="15" spans="1:9" ht="15" x14ac:dyDescent="0.25">
      <c r="A15" s="6">
        <v>3</v>
      </c>
      <c r="B15" s="6">
        <v>1</v>
      </c>
      <c r="C15" s="6" t="s">
        <v>25</v>
      </c>
      <c r="D15" s="7">
        <v>68.123486999999997</v>
      </c>
      <c r="F15" s="2">
        <v>4</v>
      </c>
      <c r="G15" s="2">
        <v>6</v>
      </c>
      <c r="H15" s="2" t="s">
        <v>23</v>
      </c>
      <c r="I15" s="3">
        <v>68.215083000000007</v>
      </c>
    </row>
    <row r="18" spans="1:9" ht="15" x14ac:dyDescent="0.25">
      <c r="A18" s="12" t="s">
        <v>16</v>
      </c>
      <c r="B18" s="13"/>
      <c r="C18" s="13"/>
      <c r="D18" s="14"/>
      <c r="F18" s="12" t="s">
        <v>17</v>
      </c>
      <c r="G18" s="13"/>
      <c r="H18" s="13"/>
      <c r="I18" s="14"/>
    </row>
    <row r="19" spans="1:9" ht="15" x14ac:dyDescent="0.25">
      <c r="A19" s="2">
        <v>1</v>
      </c>
      <c r="B19" s="2">
        <v>6</v>
      </c>
      <c r="C19" s="2" t="s">
        <v>23</v>
      </c>
      <c r="D19" s="3">
        <v>73.344639000000001</v>
      </c>
      <c r="F19" s="2">
        <v>1</v>
      </c>
      <c r="G19" s="2">
        <v>4</v>
      </c>
      <c r="H19" s="2" t="s">
        <v>24</v>
      </c>
      <c r="I19" s="3">
        <v>64.985607999999999</v>
      </c>
    </row>
    <row r="20" spans="1:9" ht="15" x14ac:dyDescent="0.25">
      <c r="A20" s="2">
        <v>2</v>
      </c>
      <c r="B20" s="2">
        <v>1</v>
      </c>
      <c r="C20" s="2" t="s">
        <v>25</v>
      </c>
      <c r="D20" s="3">
        <v>66.148032000000001</v>
      </c>
      <c r="F20" s="2">
        <v>2</v>
      </c>
      <c r="G20" s="2">
        <v>5</v>
      </c>
      <c r="H20" s="2" t="s">
        <v>26</v>
      </c>
      <c r="I20" s="3">
        <v>64.504751999999996</v>
      </c>
    </row>
    <row r="21" spans="1:9" ht="15" x14ac:dyDescent="0.25">
      <c r="A21" s="2">
        <v>3</v>
      </c>
      <c r="B21" s="2">
        <v>4</v>
      </c>
      <c r="C21" s="2" t="s">
        <v>24</v>
      </c>
      <c r="D21" s="3">
        <v>65.854276999999996</v>
      </c>
      <c r="F21" s="2">
        <v>3</v>
      </c>
      <c r="G21" s="2">
        <v>6</v>
      </c>
      <c r="H21" s="2" t="s">
        <v>23</v>
      </c>
      <c r="I21" s="3">
        <v>64.171332000000007</v>
      </c>
    </row>
    <row r="22" spans="1:9" ht="15" x14ac:dyDescent="0.25">
      <c r="A22" s="2">
        <v>4</v>
      </c>
      <c r="B22" s="2">
        <v>5</v>
      </c>
      <c r="C22" s="2" t="s">
        <v>26</v>
      </c>
      <c r="D22" s="3">
        <v>65.410332999999994</v>
      </c>
      <c r="F22" s="2">
        <v>4</v>
      </c>
      <c r="G22" s="2">
        <v>1</v>
      </c>
      <c r="H22" s="2" t="s">
        <v>25</v>
      </c>
      <c r="I22" s="3">
        <v>64.089708000000002</v>
      </c>
    </row>
    <row r="25" spans="1:9" ht="15" x14ac:dyDescent="0.25">
      <c r="A25" s="12" t="s">
        <v>18</v>
      </c>
      <c r="B25" s="13"/>
      <c r="C25" s="13"/>
      <c r="D25" s="14"/>
      <c r="F25" s="12" t="s">
        <v>19</v>
      </c>
      <c r="G25" s="13"/>
      <c r="H25" s="13"/>
      <c r="I25" s="14"/>
    </row>
    <row r="26" spans="1:9" ht="15" x14ac:dyDescent="0.25">
      <c r="A26" s="2">
        <v>1</v>
      </c>
      <c r="B26" s="2">
        <v>6</v>
      </c>
      <c r="C26" s="2" t="s">
        <v>23</v>
      </c>
      <c r="D26" s="3">
        <v>69.560338999999999</v>
      </c>
      <c r="F26" s="2">
        <v>1</v>
      </c>
      <c r="G26" s="2">
        <v>6</v>
      </c>
      <c r="H26" s="2" t="s">
        <v>23</v>
      </c>
      <c r="I26" s="3">
        <v>65.212165999999996</v>
      </c>
    </row>
    <row r="27" spans="1:9" ht="15" x14ac:dyDescent="0.25">
      <c r="A27" s="2">
        <v>2</v>
      </c>
      <c r="B27" s="2">
        <v>4</v>
      </c>
      <c r="C27" s="2" t="s">
        <v>24</v>
      </c>
      <c r="D27" s="3">
        <v>65.663501999999994</v>
      </c>
      <c r="F27" s="2">
        <v>2</v>
      </c>
      <c r="G27" s="2">
        <v>4</v>
      </c>
      <c r="H27" s="2" t="s">
        <v>24</v>
      </c>
      <c r="I27" s="3">
        <v>65.005759999999995</v>
      </c>
    </row>
    <row r="28" spans="1:9" ht="15" x14ac:dyDescent="0.25">
      <c r="A28" s="2">
        <v>3</v>
      </c>
      <c r="B28" s="2">
        <v>1</v>
      </c>
      <c r="C28" s="2" t="s">
        <v>25</v>
      </c>
      <c r="D28" s="3">
        <v>65.483215999999999</v>
      </c>
      <c r="F28" s="2">
        <v>3</v>
      </c>
      <c r="G28" s="2">
        <v>1</v>
      </c>
      <c r="H28" s="2" t="s">
        <v>25</v>
      </c>
      <c r="I28" s="3">
        <v>64.553028999999995</v>
      </c>
    </row>
    <row r="29" spans="1:9" ht="15" x14ac:dyDescent="0.25">
      <c r="A29" s="2">
        <v>4</v>
      </c>
      <c r="B29" s="2">
        <v>5</v>
      </c>
      <c r="C29" s="2" t="s">
        <v>26</v>
      </c>
      <c r="D29" s="3">
        <v>65.033135000000001</v>
      </c>
      <c r="F29" s="2">
        <v>4</v>
      </c>
      <c r="G29" s="2">
        <v>5</v>
      </c>
      <c r="H29" s="2" t="s">
        <v>26</v>
      </c>
      <c r="I29" s="3">
        <v>63.957943</v>
      </c>
    </row>
    <row r="32" spans="1:9" ht="15" x14ac:dyDescent="0.25">
      <c r="A32" s="12" t="s">
        <v>20</v>
      </c>
      <c r="B32" s="13"/>
      <c r="C32" s="13"/>
      <c r="D32" s="14"/>
    </row>
    <row r="33" spans="1:4" ht="15" x14ac:dyDescent="0.25">
      <c r="A33" s="2">
        <v>1</v>
      </c>
      <c r="B33" s="2">
        <v>6</v>
      </c>
      <c r="C33" s="2" t="s">
        <v>23</v>
      </c>
      <c r="D33" s="3">
        <v>69.303738999999993</v>
      </c>
    </row>
    <row r="34" spans="1:4" ht="15" x14ac:dyDescent="0.25">
      <c r="A34" s="2">
        <v>2</v>
      </c>
      <c r="B34" s="2">
        <v>4</v>
      </c>
      <c r="C34" s="2" t="s">
        <v>24</v>
      </c>
      <c r="D34" s="3">
        <v>66.593019999999996</v>
      </c>
    </row>
    <row r="35" spans="1:4" ht="15" x14ac:dyDescent="0.25">
      <c r="A35" s="2">
        <v>3</v>
      </c>
      <c r="B35" s="2">
        <v>1</v>
      </c>
      <c r="C35" s="2" t="s">
        <v>25</v>
      </c>
      <c r="D35" s="3">
        <v>66.276938000000001</v>
      </c>
    </row>
    <row r="36" spans="1:4" ht="15" x14ac:dyDescent="0.25">
      <c r="A36" s="2">
        <v>4</v>
      </c>
      <c r="B36" s="2">
        <v>5</v>
      </c>
      <c r="C36" s="2" t="s">
        <v>26</v>
      </c>
      <c r="D36" s="3">
        <v>65.777942999999993</v>
      </c>
    </row>
  </sheetData>
  <mergeCells count="9">
    <mergeCell ref="A25:D25"/>
    <mergeCell ref="F25:I25"/>
    <mergeCell ref="A32:D32"/>
    <mergeCell ref="A4:D4"/>
    <mergeCell ref="F4:I4"/>
    <mergeCell ref="A11:D11"/>
    <mergeCell ref="F11:I11"/>
    <mergeCell ref="A18:D18"/>
    <mergeCell ref="F18:I18"/>
  </mergeCells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workbookViewId="0"/>
  </sheetViews>
  <sheetFormatPr defaultRowHeight="13.5" x14ac:dyDescent="0.15"/>
  <cols>
    <col min="2" max="2" width="32.125" customWidth="1"/>
    <col min="4" max="11" width="13" hidden="1" customWidth="1"/>
  </cols>
  <sheetData>
    <row r="1" spans="1:12" ht="15" x14ac:dyDescent="0.25">
      <c r="A1" s="1" t="s">
        <v>0</v>
      </c>
    </row>
    <row r="2" spans="1:12" ht="15" x14ac:dyDescent="0.25">
      <c r="A2" s="1" t="s">
        <v>29</v>
      </c>
    </row>
    <row r="3" spans="1:12" ht="15" x14ac:dyDescent="0.25">
      <c r="A3" s="1" t="s">
        <v>4</v>
      </c>
    </row>
    <row r="4" spans="1:12" ht="28.5" x14ac:dyDescent="0.15">
      <c r="A4" s="5" t="s">
        <v>6</v>
      </c>
      <c r="B4" s="5" t="s">
        <v>7</v>
      </c>
      <c r="C4" s="5" t="s">
        <v>8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8" t="s">
        <v>29</v>
      </c>
    </row>
    <row r="5" spans="1:12" ht="15" x14ac:dyDescent="0.25">
      <c r="A5" s="2">
        <v>1</v>
      </c>
      <c r="B5" s="2" t="s">
        <v>25</v>
      </c>
      <c r="C5" s="2">
        <v>3785</v>
      </c>
      <c r="D5" s="2">
        <v>461</v>
      </c>
      <c r="E5" s="2">
        <v>2041</v>
      </c>
      <c r="F5" s="2">
        <v>1125</v>
      </c>
      <c r="G5" s="2">
        <v>158</v>
      </c>
      <c r="H5" s="4">
        <v>0.121796</v>
      </c>
      <c r="I5" s="4">
        <v>0.53923299999999996</v>
      </c>
      <c r="J5" s="4">
        <v>0.29722500000000002</v>
      </c>
      <c r="K5" s="4">
        <v>4.1743000000000002E-2</v>
      </c>
      <c r="L5" s="9">
        <v>0.66103000000000001</v>
      </c>
    </row>
    <row r="6" spans="1:12" ht="15" x14ac:dyDescent="0.25">
      <c r="A6" s="2">
        <v>4</v>
      </c>
      <c r="B6" s="2" t="s">
        <v>24</v>
      </c>
      <c r="C6" s="2">
        <v>1723</v>
      </c>
      <c r="D6" s="2">
        <v>172</v>
      </c>
      <c r="E6" s="2">
        <v>977</v>
      </c>
      <c r="F6" s="2">
        <v>499</v>
      </c>
      <c r="G6" s="2">
        <v>75</v>
      </c>
      <c r="H6" s="4">
        <v>9.9824999999999997E-2</v>
      </c>
      <c r="I6" s="4">
        <v>0.56703400000000004</v>
      </c>
      <c r="J6" s="4">
        <v>0.28961100000000001</v>
      </c>
      <c r="K6" s="4">
        <v>4.3527999999999997E-2</v>
      </c>
      <c r="L6" s="9">
        <v>0.66686000000000001</v>
      </c>
    </row>
    <row r="7" spans="1:12" ht="15" x14ac:dyDescent="0.25">
      <c r="A7" s="2">
        <v>5</v>
      </c>
      <c r="B7" s="2" t="s">
        <v>26</v>
      </c>
      <c r="C7" s="2">
        <v>1454</v>
      </c>
      <c r="D7" s="2">
        <v>138</v>
      </c>
      <c r="E7" s="2">
        <v>761</v>
      </c>
      <c r="F7" s="2">
        <v>490</v>
      </c>
      <c r="G7" s="2">
        <v>65</v>
      </c>
      <c r="H7" s="4">
        <v>9.4909999999999994E-2</v>
      </c>
      <c r="I7" s="4">
        <v>0.52338300000000004</v>
      </c>
      <c r="J7" s="4">
        <v>0.337001</v>
      </c>
      <c r="K7" s="4">
        <v>4.4704000000000001E-2</v>
      </c>
      <c r="L7" s="9">
        <v>0.61829400000000001</v>
      </c>
    </row>
    <row r="8" spans="1:12" ht="15" x14ac:dyDescent="0.25">
      <c r="A8" s="2">
        <v>6</v>
      </c>
      <c r="B8" s="2" t="s">
        <v>23</v>
      </c>
      <c r="C8" s="2">
        <v>1502</v>
      </c>
      <c r="D8" s="2">
        <v>291</v>
      </c>
      <c r="E8" s="2">
        <v>884</v>
      </c>
      <c r="F8" s="2">
        <v>290</v>
      </c>
      <c r="G8" s="2">
        <v>37</v>
      </c>
      <c r="H8" s="4">
        <v>0.193741</v>
      </c>
      <c r="I8" s="4">
        <v>0.58854799999999996</v>
      </c>
      <c r="J8" s="4">
        <v>0.193075</v>
      </c>
      <c r="K8" s="4">
        <v>2.4632999999999999E-2</v>
      </c>
      <c r="L8" s="10">
        <v>0.78229000000000004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workbookViewId="0"/>
  </sheetViews>
  <sheetFormatPr defaultRowHeight="13.5" x14ac:dyDescent="0.15"/>
  <cols>
    <col min="2" max="2" width="32.125" customWidth="1"/>
    <col min="4" max="11" width="13" hidden="1" customWidth="1"/>
  </cols>
  <sheetData>
    <row r="1" spans="1:12" ht="15" x14ac:dyDescent="0.25">
      <c r="A1" s="1" t="s">
        <v>0</v>
      </c>
    </row>
    <row r="2" spans="1:12" ht="15" x14ac:dyDescent="0.25">
      <c r="A2" s="1" t="s">
        <v>38</v>
      </c>
    </row>
    <row r="3" spans="1:12" ht="15" x14ac:dyDescent="0.25">
      <c r="A3" s="1" t="s">
        <v>4</v>
      </c>
    </row>
    <row r="4" spans="1:12" ht="28.5" x14ac:dyDescent="0.15">
      <c r="A4" s="5" t="s">
        <v>6</v>
      </c>
      <c r="B4" s="5" t="s">
        <v>7</v>
      </c>
      <c r="C4" s="5" t="s">
        <v>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8" t="s">
        <v>38</v>
      </c>
    </row>
    <row r="5" spans="1:12" ht="15" x14ac:dyDescent="0.25">
      <c r="A5" s="2">
        <v>1</v>
      </c>
      <c r="B5" s="2" t="s">
        <v>25</v>
      </c>
      <c r="C5" s="2">
        <v>3785</v>
      </c>
      <c r="D5" s="2">
        <v>982</v>
      </c>
      <c r="E5" s="2">
        <v>2094</v>
      </c>
      <c r="F5" s="2">
        <v>650</v>
      </c>
      <c r="G5" s="2">
        <v>59</v>
      </c>
      <c r="H5" s="4">
        <v>0.25944499999999998</v>
      </c>
      <c r="I5" s="4">
        <v>0.55323599999999995</v>
      </c>
      <c r="J5" s="4">
        <v>0.17172999999999999</v>
      </c>
      <c r="K5" s="4">
        <v>1.5587E-2</v>
      </c>
      <c r="L5" s="9">
        <v>0.81268099999999999</v>
      </c>
    </row>
    <row r="6" spans="1:12" ht="15" x14ac:dyDescent="0.25">
      <c r="A6" s="2">
        <v>4</v>
      </c>
      <c r="B6" s="2" t="s">
        <v>24</v>
      </c>
      <c r="C6" s="2">
        <v>1723</v>
      </c>
      <c r="D6" s="2">
        <v>410</v>
      </c>
      <c r="E6" s="2">
        <v>956</v>
      </c>
      <c r="F6" s="2">
        <v>327</v>
      </c>
      <c r="G6" s="2">
        <v>30</v>
      </c>
      <c r="H6" s="4">
        <v>0.237957</v>
      </c>
      <c r="I6" s="4">
        <v>0.55484599999999995</v>
      </c>
      <c r="J6" s="4">
        <v>0.18978500000000001</v>
      </c>
      <c r="K6" s="4">
        <v>1.7410999999999999E-2</v>
      </c>
      <c r="L6" s="9">
        <v>0.79280300000000004</v>
      </c>
    </row>
    <row r="7" spans="1:12" ht="15" x14ac:dyDescent="0.25">
      <c r="A7" s="2">
        <v>5</v>
      </c>
      <c r="B7" s="2" t="s">
        <v>26</v>
      </c>
      <c r="C7" s="2">
        <v>1454</v>
      </c>
      <c r="D7" s="2">
        <v>279</v>
      </c>
      <c r="E7" s="2">
        <v>810</v>
      </c>
      <c r="F7" s="2">
        <v>330</v>
      </c>
      <c r="G7" s="2">
        <v>35</v>
      </c>
      <c r="H7" s="4">
        <v>0.191884</v>
      </c>
      <c r="I7" s="4">
        <v>0.55708299999999999</v>
      </c>
      <c r="J7" s="4">
        <v>0.22696</v>
      </c>
      <c r="K7" s="4">
        <v>2.4070999999999999E-2</v>
      </c>
      <c r="L7" s="9">
        <v>0.74896799999999997</v>
      </c>
    </row>
    <row r="8" spans="1:12" ht="15" x14ac:dyDescent="0.25">
      <c r="A8" s="2">
        <v>6</v>
      </c>
      <c r="B8" s="2" t="s">
        <v>23</v>
      </c>
      <c r="C8" s="2">
        <v>1502</v>
      </c>
      <c r="D8" s="2">
        <v>594</v>
      </c>
      <c r="E8" s="2">
        <v>751</v>
      </c>
      <c r="F8" s="2">
        <v>142</v>
      </c>
      <c r="G8" s="2">
        <v>15</v>
      </c>
      <c r="H8" s="4">
        <v>0.39547199999999999</v>
      </c>
      <c r="I8" s="4">
        <v>0.5</v>
      </c>
      <c r="J8" s="4">
        <v>9.4539999999999999E-2</v>
      </c>
      <c r="K8" s="4">
        <v>9.9860000000000001E-3</v>
      </c>
      <c r="L8" s="10">
        <v>0.89547200000000005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総合対象企業</vt:lpstr>
      <vt:lpstr>評価項目</vt:lpstr>
      <vt:lpstr>評価項目_営業用</vt:lpstr>
      <vt:lpstr>他者推奨意向</vt:lpstr>
      <vt:lpstr>継続意向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佐藤 奈納</cp:lastModifiedBy>
  <dcterms:created xsi:type="dcterms:W3CDTF">2024-09-04T03:15:15Z</dcterms:created>
  <dcterms:modified xsi:type="dcterms:W3CDTF">2024-09-11T06:26:36Z</dcterms:modified>
</cp:coreProperties>
</file>